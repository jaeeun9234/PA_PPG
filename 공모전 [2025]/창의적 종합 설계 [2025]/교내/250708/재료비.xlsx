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hh0\OneDrive\바탕 화면\"/>
    </mc:Choice>
  </mc:AlternateContent>
  <xr:revisionPtr revIDLastSave="0" documentId="13_ncr:1_{BF74E7CE-0B1F-4381-9D94-10A3CD91ABF7}" xr6:coauthVersionLast="47" xr6:coauthVersionMax="47" xr10:uidLastSave="{00000000-0000-0000-0000-000000000000}"/>
  <bookViews>
    <workbookView xWindow="-108" yWindow="-108" windowWidth="23256" windowHeight="12456" xr2:uid="{DDC206ED-C92F-4349-9263-DF6B95AF4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6" i="1" s="1"/>
  <c r="F12" i="1"/>
  <c r="F13" i="1"/>
  <c r="F2" i="1"/>
</calcChain>
</file>

<file path=xl/sharedStrings.xml><?xml version="1.0" encoding="utf-8"?>
<sst xmlns="http://schemas.openxmlformats.org/spreadsheetml/2006/main" count="36" uniqueCount="36">
  <si>
    <t>RP520</t>
    <phoneticPr fontId="1" type="noConversion"/>
  </si>
  <si>
    <t>PPG 센서</t>
    <phoneticPr fontId="1" type="noConversion"/>
  </si>
  <si>
    <t>마이크로컨트롤러</t>
  </si>
  <si>
    <t>ESP32</t>
    <phoneticPr fontId="1" type="noConversion"/>
  </si>
  <si>
    <t>연결장비</t>
    <phoneticPr fontId="1" type="noConversion"/>
  </si>
  <si>
    <t>브레드보드</t>
    <phoneticPr fontId="1" type="noConversion"/>
  </si>
  <si>
    <t>USB 케이블</t>
    <phoneticPr fontId="1" type="noConversion"/>
  </si>
  <si>
    <t>수량</t>
    <phoneticPr fontId="1" type="noConversion"/>
  </si>
  <si>
    <t>구매처</t>
    <phoneticPr fontId="1" type="noConversion"/>
  </si>
  <si>
    <t>재료명</t>
    <phoneticPr fontId="1" type="noConversion"/>
  </si>
  <si>
    <t>구분</t>
    <phoneticPr fontId="1" type="noConversion"/>
  </si>
  <si>
    <t>전원공급</t>
    <phoneticPr fontId="1" type="noConversion"/>
  </si>
  <si>
    <t>리튬폴리머 배터리 추가옵션</t>
    <phoneticPr fontId="1" type="noConversion"/>
  </si>
  <si>
    <t>배송비</t>
    <phoneticPr fontId="1" type="noConversion"/>
  </si>
  <si>
    <t>점퍼케이블 수-수 10cm</t>
    <phoneticPr fontId="1" type="noConversion"/>
  </si>
  <si>
    <t>점퍼케이블 암-수 10cm</t>
    <phoneticPr fontId="1" type="noConversion"/>
  </si>
  <si>
    <t>점퍼케이블 암-암 10cm</t>
    <phoneticPr fontId="1" type="noConversion"/>
  </si>
  <si>
    <t>https://www.coupang.com/vp/products/2068655256?itemId=3515017935&amp;vendorItemId=71501145963&amp;q=%EC%97%B4+%EC%88%98%EC%B6%95+%ED%8A%9C%EB%B8%8C&amp;searchId=5a373fe51117799&amp;sourceType=search&amp;itemsCount=36&amp;searchRank=3&amp;rank=3</t>
    <phoneticPr fontId="1" type="noConversion"/>
  </si>
  <si>
    <t>https://laxtha-eshop.kr/goods/view?no=74</t>
    <phoneticPr fontId="1" type="noConversion"/>
  </si>
  <si>
    <t>https://www.coupang.com/vp/products/8234504284?itemId=23702867533&amp;vendorItemId=90727903564&amp;q=ESP32&amp;itemsCount=36&amp;searchId=390449878516112&amp;rank=9&amp;searchRank=9&amp;isAddedCart=</t>
    <phoneticPr fontId="1" type="noConversion"/>
  </si>
  <si>
    <t>https://www.coupang.com/vp/products/7231041588?itemId=18348206735&amp;searchId=6036698e20d24e14a09edf627fded94f&amp;sourceType=brandstore_sdp_atf-best_products&amp;storeId=43938&amp;subSourceType=brandstore_sdp_atf-best_products&amp;vendorId=A00763125&amp;vendorItemId=85492237627</t>
    <phoneticPr fontId="1" type="noConversion"/>
  </si>
  <si>
    <t>https://www.coupang.com/vp/products/7506455755?itemId=19659852081&amp;vendorItemId=86765650881&amp;q=%EC%A0%90%ED%8D%BC%EC%BC%80%EC%9D%B4%EB%B8%94+%EC%95%94%EC%88%98+10cm&amp;searchId=5bfabc53950035&amp;sourceType=search&amp;itemsCount=36&amp;searchRank=8&amp;rank=8</t>
    <phoneticPr fontId="1" type="noConversion"/>
  </si>
  <si>
    <t>https://www.coupang.com/vp/products/7231046421?itemId=25798572985&amp;searchId=dd470fe4787b476d8ef1bf1c84255ccb&amp;sourceType=brandstore_sdp_atf-search_result&amp;storeId=43938&amp;subSourceType=brandstore_sdp_atf-search_result&amp;vendorId=A00763125&amp;vendorItemId=85492257901</t>
    <phoneticPr fontId="1" type="noConversion"/>
  </si>
  <si>
    <t>https://www.coupang.com/vp/products/7476140140?itemId=19518089055&amp;vendorItemId=92460033026&amp;q=%EB%B8%8C%EB%A0%88%EB%93%9C%EB%B3%B4%EB%93%9C+170%ED%99%80+%ED%88%AC%EB%AA%85&amp;searchId=be78212c1005419&amp;sourceType=search&amp;itemsCount=36&amp;searchRank=0&amp;rank=0</t>
    <phoneticPr fontId="1" type="noConversion"/>
  </si>
  <si>
    <t>수축 튜브(5mm)</t>
    <phoneticPr fontId="1" type="noConversion"/>
  </si>
  <si>
    <t>총액</t>
    <phoneticPr fontId="1" type="noConversion"/>
  </si>
  <si>
    <t>https://search.shopping.naver.com/catalog/51096906864?query=%EC%86%90%EB%AA%A9%20%EC%8A%A4%ED%8A%B8%EB%9E%A9&amp;NaPm=ct%3Dmcuccy6w%7Cci%3Dc0a8d9af2fb356683b95bb038e9304b65eeeb45b%7Ctr%3Dslsl%7Csn%3D95694%7Chk%3D0f6ee3478e3f24fbe92273ff3af18b068803468c</t>
    <phoneticPr fontId="1" type="noConversion"/>
  </si>
  <si>
    <t>파우치</t>
    <phoneticPr fontId="1" type="noConversion"/>
  </si>
  <si>
    <t>제품 디자인</t>
    <phoneticPr fontId="1" type="noConversion"/>
  </si>
  <si>
    <t>손목 스트랩</t>
    <phoneticPr fontId="1" type="noConversion"/>
  </si>
  <si>
    <t>http://itempage3.auction.co.kr/DetailView.aspx?itemno=F267078779</t>
    <phoneticPr fontId="1" type="noConversion"/>
  </si>
  <si>
    <t>가격</t>
    <phoneticPr fontId="1" type="noConversion"/>
  </si>
  <si>
    <t>총 가격</t>
    <phoneticPr fontId="1" type="noConversion"/>
  </si>
  <si>
    <t>https://smartstore.naver.com/amnet/products/9454805129?nl-au=18a6d54b5d89408aacbc0ca0619a635f&amp;nl-query=%EB%A6%AC%ED%8A%AC%EB%B0%B0%ED%84%B0%EB%A6%AC</t>
    <phoneticPr fontId="1" type="noConversion"/>
  </si>
  <si>
    <t>리튬폴리머 배터리 1200mAh</t>
    <phoneticPr fontId="1" type="noConversion"/>
  </si>
  <si>
    <t>충전/방전 모듈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</si>
</sst>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store.naver.com/amnet/products/9454805129?nl-au=18a6d54b5d89408aacbc0ca0619a635f&amp;nl-query=%EB%A6%AC%ED%8A%AC%EB%B0%B0%ED%84%B0%EB%A6%AC" TargetMode="External"/><Relationship Id="rId3" Type="http://schemas.openxmlformats.org/officeDocument/2006/relationships/hyperlink" Target="https://www.coupang.com/vp/products/7231041588?itemId=18348206735&amp;searchId=6036698e20d24e14a09edf627fded94f&amp;sourceType=brandstore_sdp_atf-best_products&amp;storeId=43938&amp;subSourceType=brandstore_sdp_atf-best_products&amp;vendorId=A00763125&amp;vendorItemId=85492237627" TargetMode="External"/><Relationship Id="rId7" Type="http://schemas.openxmlformats.org/officeDocument/2006/relationships/hyperlink" Target="https://www.coupang.com/vp/products/2068655256?itemId=3515017935&amp;vendorItemId=71501145963&amp;q=%EC%97%B4+%EC%88%98%EC%B6%95+%ED%8A%9C%EB%B8%8C&amp;searchId=5a373fe51117799&amp;sourceType=search&amp;itemsCount=36&amp;searchRank=3&amp;rank=3" TargetMode="External"/><Relationship Id="rId2" Type="http://schemas.openxmlformats.org/officeDocument/2006/relationships/hyperlink" Target="https://www.coupang.com/vp/products/8234504284?itemId=23702867533&amp;vendorItemId=90727903564&amp;q=ESP32&amp;itemsCount=36&amp;searchId=390449878516112&amp;rank=9&amp;searchRank=9&amp;isAddedCart=" TargetMode="External"/><Relationship Id="rId1" Type="http://schemas.openxmlformats.org/officeDocument/2006/relationships/hyperlink" Target="https://laxtha-eshop.kr/goods/view?no=74" TargetMode="External"/><Relationship Id="rId6" Type="http://schemas.openxmlformats.org/officeDocument/2006/relationships/hyperlink" Target="https://www.coupang.com/vp/products/7476140140?itemId=19518089055&amp;vendorItemId=92460033026&amp;q=%EB%B8%8C%EB%A0%88%EB%93%9C%EB%B3%B4%EB%93%9C+170%ED%99%80+%ED%88%AC%EB%AA%85&amp;searchId=be78212c1005419&amp;sourceType=search&amp;itemsCount=36&amp;searchRank=0&amp;rank=0" TargetMode="External"/><Relationship Id="rId5" Type="http://schemas.openxmlformats.org/officeDocument/2006/relationships/hyperlink" Target="https://www.coupang.com/vp/products/7231046421?itemId=25798572985&amp;searchId=dd470fe4787b476d8ef1bf1c84255ccb&amp;sourceType=brandstore_sdp_atf-search_result&amp;storeId=43938&amp;subSourceType=brandstore_sdp_atf-search_result&amp;vendorId=A00763125&amp;vendorItemId=85492257901" TargetMode="External"/><Relationship Id="rId10" Type="http://schemas.openxmlformats.org/officeDocument/2006/relationships/hyperlink" Target="http://itempage3.auction.co.kr/DetailView.aspx?itemno=F267078779" TargetMode="External"/><Relationship Id="rId4" Type="http://schemas.openxmlformats.org/officeDocument/2006/relationships/hyperlink" Target="https://www.coupang.com/vp/products/7506455755?itemId=19659852081&amp;vendorItemId=86765650881&amp;q=%EC%A0%90%ED%8D%BC%EC%BC%80%EC%9D%B4%EB%B8%94+%EC%95%94%EC%88%98+10cm&amp;searchId=5bfabc53950035&amp;sourceType=search&amp;itemsCount=36&amp;searchRank=8&amp;rank=8" TargetMode="External"/><Relationship Id="rId9" Type="http://schemas.openxmlformats.org/officeDocument/2006/relationships/hyperlink" Target="https://search.shopping.naver.com/catalog/51096906864?query=%EC%86%90%EB%AA%A9%20%EC%8A%A4%ED%8A%B8%EB%9E%A9&amp;NaPm=ct%3Dmcuccy6w%7Cci%3Dc0a8d9af2fb356683b95bb038e9304b65eeeb45b%7Ctr%3Dslsl%7Csn%3D95694%7Chk%3D0f6ee3478e3f24fbe92273ff3af18b06880346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07EF-9BB2-4675-808A-65DA9D5F03BD}">
  <dimension ref="A1:G16"/>
  <sheetViews>
    <sheetView tabSelected="1" workbookViewId="0">
      <selection activeCell="C10" sqref="C10"/>
    </sheetView>
  </sheetViews>
  <sheetFormatPr defaultRowHeight="17.399999999999999"/>
  <cols>
    <col min="1" max="1" width="16.296875" bestFit="1" customWidth="1"/>
    <col min="2" max="2" width="26.09765625" bestFit="1" customWidth="1"/>
    <col min="4" max="4" width="16.09765625" bestFit="1" customWidth="1"/>
    <col min="5" max="6" width="16.09765625" customWidth="1"/>
  </cols>
  <sheetData>
    <row r="1" spans="1:7">
      <c r="A1" t="s">
        <v>10</v>
      </c>
      <c r="B1" t="s">
        <v>9</v>
      </c>
      <c r="C1" t="s">
        <v>7</v>
      </c>
      <c r="D1" t="s">
        <v>31</v>
      </c>
      <c r="E1" t="s">
        <v>13</v>
      </c>
      <c r="F1" t="s">
        <v>32</v>
      </c>
      <c r="G1" t="s">
        <v>8</v>
      </c>
    </row>
    <row r="2" spans="1:7">
      <c r="A2" t="s">
        <v>1</v>
      </c>
      <c r="B2" t="s">
        <v>0</v>
      </c>
      <c r="C2">
        <v>2</v>
      </c>
      <c r="D2" s="2">
        <v>77000</v>
      </c>
      <c r="E2" s="2"/>
      <c r="F2" s="2">
        <f>C2*D2+E2</f>
        <v>154000</v>
      </c>
      <c r="G2" s="4" t="s">
        <v>18</v>
      </c>
    </row>
    <row r="3" spans="1:7">
      <c r="A3" t="s">
        <v>2</v>
      </c>
      <c r="B3" t="s">
        <v>3</v>
      </c>
      <c r="C3">
        <v>2</v>
      </c>
      <c r="D3" s="2">
        <v>10990</v>
      </c>
      <c r="E3" s="2">
        <v>3200</v>
      </c>
      <c r="F3" s="2">
        <f t="shared" ref="F3:F13" si="0">C3*D3+E3</f>
        <v>25180</v>
      </c>
      <c r="G3" s="4" t="s">
        <v>19</v>
      </c>
    </row>
    <row r="4" spans="1:7">
      <c r="A4" t="s">
        <v>4</v>
      </c>
      <c r="B4" t="s">
        <v>14</v>
      </c>
      <c r="C4">
        <v>1</v>
      </c>
      <c r="D4" s="2">
        <v>4950</v>
      </c>
      <c r="E4" s="2"/>
      <c r="F4" s="2">
        <f t="shared" si="0"/>
        <v>4950</v>
      </c>
      <c r="G4" s="4" t="s">
        <v>20</v>
      </c>
    </row>
    <row r="5" spans="1:7">
      <c r="B5" t="s">
        <v>15</v>
      </c>
      <c r="C5">
        <v>1</v>
      </c>
      <c r="D5" s="2">
        <v>2500</v>
      </c>
      <c r="E5" s="2">
        <v>3000</v>
      </c>
      <c r="F5" s="2">
        <f t="shared" si="0"/>
        <v>5500</v>
      </c>
      <c r="G5" s="4" t="s">
        <v>21</v>
      </c>
    </row>
    <row r="6" spans="1:7">
      <c r="B6" t="s">
        <v>16</v>
      </c>
      <c r="C6">
        <v>1</v>
      </c>
      <c r="D6" s="2">
        <v>1990</v>
      </c>
      <c r="E6" s="2">
        <v>3500</v>
      </c>
      <c r="F6" s="2">
        <f t="shared" si="0"/>
        <v>5490</v>
      </c>
      <c r="G6" s="4" t="s">
        <v>22</v>
      </c>
    </row>
    <row r="7" spans="1:7">
      <c r="B7" t="s">
        <v>5</v>
      </c>
      <c r="C7">
        <v>3</v>
      </c>
      <c r="D7" s="2">
        <v>6900</v>
      </c>
      <c r="E7" s="2"/>
      <c r="F7" s="2">
        <f t="shared" si="0"/>
        <v>20700</v>
      </c>
      <c r="G7" s="4" t="s">
        <v>23</v>
      </c>
    </row>
    <row r="8" spans="1:7" hidden="1">
      <c r="B8" s="1" t="s">
        <v>6</v>
      </c>
      <c r="D8" s="2"/>
      <c r="E8" s="2"/>
      <c r="F8" s="2">
        <f t="shared" si="0"/>
        <v>0</v>
      </c>
    </row>
    <row r="9" spans="1:7">
      <c r="B9" s="3" t="s">
        <v>24</v>
      </c>
      <c r="C9">
        <v>2</v>
      </c>
      <c r="D9" s="2">
        <v>320</v>
      </c>
      <c r="E9" s="2">
        <v>2800</v>
      </c>
      <c r="F9" s="2">
        <f t="shared" si="0"/>
        <v>3440</v>
      </c>
      <c r="G9" s="4" t="s">
        <v>17</v>
      </c>
    </row>
    <row r="10" spans="1:7">
      <c r="A10" t="s">
        <v>11</v>
      </c>
      <c r="B10" t="s">
        <v>34</v>
      </c>
      <c r="C10">
        <v>2</v>
      </c>
      <c r="D10" s="2">
        <v>5700</v>
      </c>
      <c r="E10" s="2"/>
      <c r="F10" s="2">
        <f t="shared" si="0"/>
        <v>11400</v>
      </c>
      <c r="G10" s="4" t="s">
        <v>33</v>
      </c>
    </row>
    <row r="11" spans="1:7">
      <c r="B11" t="s">
        <v>35</v>
      </c>
      <c r="C11">
        <v>1</v>
      </c>
      <c r="D11" s="2">
        <v>3500</v>
      </c>
      <c r="E11" s="2"/>
      <c r="F11" s="2">
        <f t="shared" si="0"/>
        <v>3500</v>
      </c>
      <c r="G11" t="s">
        <v>12</v>
      </c>
    </row>
    <row r="12" spans="1:7">
      <c r="A12" t="s">
        <v>28</v>
      </c>
      <c r="B12" t="s">
        <v>29</v>
      </c>
      <c r="C12">
        <v>1</v>
      </c>
      <c r="D12" s="2">
        <v>49800</v>
      </c>
      <c r="F12" s="2">
        <f t="shared" si="0"/>
        <v>49800</v>
      </c>
      <c r="G12" s="4" t="s">
        <v>26</v>
      </c>
    </row>
    <row r="13" spans="1:7">
      <c r="B13" t="s">
        <v>27</v>
      </c>
      <c r="C13">
        <v>1</v>
      </c>
      <c r="D13" s="2">
        <v>2790</v>
      </c>
      <c r="E13">
        <v>3000</v>
      </c>
      <c r="F13" s="2">
        <f t="shared" si="0"/>
        <v>5790</v>
      </c>
      <c r="G13" s="4" t="s">
        <v>30</v>
      </c>
    </row>
    <row r="16" spans="1:7">
      <c r="E16" t="s">
        <v>25</v>
      </c>
      <c r="F16" s="2">
        <f>SUM(F2:F13)</f>
        <v>289750</v>
      </c>
    </row>
  </sheetData>
  <phoneticPr fontId="1" type="noConversion"/>
  <hyperlinks>
    <hyperlink ref="G2" r:id="rId1" xr:uid="{A7FC7B5B-D100-4DD4-AB6B-02536E44DF30}"/>
    <hyperlink ref="G3" r:id="rId2" xr:uid="{B8B76EB9-14F2-4F96-AB19-59ED854E57F8}"/>
    <hyperlink ref="G4" r:id="rId3" display="https://www.coupang.com/vp/products/7231041588?itemId=18348206735&amp;searchId=6036698e20d24e14a09edf627fded94f&amp;sourceType=brandstore_sdp_atf-best_products&amp;storeId=43938&amp;subSourceType=brandstore_sdp_atf-best_products&amp;vendorId=A00763125&amp;vendorItemId=85492237627" xr:uid="{17E6C193-EDC8-4D17-8ACC-C8A21D1AF908}"/>
    <hyperlink ref="G5" r:id="rId4" xr:uid="{47803FFF-987F-435C-A92C-0828AC7B8256}"/>
    <hyperlink ref="G6" r:id="rId5" display="https://www.coupang.com/vp/products/7231046421?itemId=25798572985&amp;searchId=dd470fe4787b476d8ef1bf1c84255ccb&amp;sourceType=brandstore_sdp_atf-search_result&amp;storeId=43938&amp;subSourceType=brandstore_sdp_atf-search_result&amp;vendorId=A00763125&amp;vendorItemId=85492257901" xr:uid="{4DB0F800-E595-4ABE-8A80-D92277F54C17}"/>
    <hyperlink ref="G7" r:id="rId6" xr:uid="{9A76D8CB-CF2B-4D10-8DBE-4D9BA1D352E9}"/>
    <hyperlink ref="G9" r:id="rId7" xr:uid="{E1696EA1-CCFD-4F9E-BAA1-A4D21FBA79E2}"/>
    <hyperlink ref="G10" r:id="rId8" xr:uid="{6B513D45-960A-46EC-8D12-43EEE763C250}"/>
    <hyperlink ref="G12" r:id="rId9" xr:uid="{A76B4DE6-5347-45EE-91AC-FA246E6D787B}"/>
    <hyperlink ref="G13" r:id="rId10" xr:uid="{B3A744A9-CE28-4F9D-BA69-FC3236CBF1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수현 장</dc:creator>
  <cp:lastModifiedBy>수현 장</cp:lastModifiedBy>
  <dcterms:created xsi:type="dcterms:W3CDTF">2025-07-08T07:53:42Z</dcterms:created>
  <dcterms:modified xsi:type="dcterms:W3CDTF">2025-07-08T10:35:25Z</dcterms:modified>
</cp:coreProperties>
</file>